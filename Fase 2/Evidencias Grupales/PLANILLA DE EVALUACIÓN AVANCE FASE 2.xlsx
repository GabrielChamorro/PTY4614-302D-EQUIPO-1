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
    </mc:Choice>
  </mc:AlternateContent>
  <bookViews>
    <workbookView xWindow="-105" yWindow="-105" windowWidth="23250" windowHeight="1245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<sst xmlns="http://schemas.openxmlformats.org/spreadsheetml/2006/main" count="84" uniqueCount="66">
  <si>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</si>
  <si>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</si>
  <si>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</si>
  <si>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</si>
  <si>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</si>
  <si>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</si>
  <si>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</si>
  <si>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</si>
  <si>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</si>
  <si>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</si>
  <si>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</si>
  <si>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</si>
  <si>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</si>
  <si>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</si>
  <si>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</si>
  <si>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</si>
  <si>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</si>
  <si>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</si>
  <si>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</si>
  <si>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</si>
  <si>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</si>
  <si>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</si>
  <si>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</si>
  <si>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</si>
  <si>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</si>
  <si>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</si>
  <si>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</si>
  <si>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</si>
  <si>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</si>
  <si>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</si>
  <si>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</si>
  <si>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</si>
  <si>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</si>
  <si>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</si>
  <si>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</si>
  <si>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</si>
  <si>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</si>
  <si>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</si>
  <si>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</si>
  <si>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</si>
  <si>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</si>
  <si>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</si>
  <si>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</si>
  <si>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</si>
  <si>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</si>
  <si>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</si>
  <si>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</si>
  <si>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</si>
  <si>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</si>
  <si>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</si>
  <si>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</si>
  <si>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</si>
  <si>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</si>
  <si>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</si>
  <si>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</si>
  <si>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</si>
  <si>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</si>
  <si>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</si>
  <si>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</si>
  <si>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</si>
  <si>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</si>
  <si>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</si>
  <si>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</si>
  <si>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Gabriel  Nicolas Chamorro Ortega</t>
  </si>
  <si>
    <t xml:space="preserve">Diego Antonio Arias Acevedo </t>
  </si>
  <si>
    <t>Jorge Andrés Salas Mora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</si>
</sst>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B1" zoomScaleNormal="100" workbookViewId="0">
      <selection activeCell="D18" sqref="D1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6.6</v>
      </c>
      <c r="G4" s="1"/>
    </row>
    <row r="5" spans="1:11">
      <c r="A5" s="4">
        <v>2</v>
      </c>
      <c r="B5" s="23" t="s">
        <v>64</v>
      </c>
      <c r="C5" s="5">
        <f>EVALUACION2!$C$22</f>
        <v>6.6</v>
      </c>
      <c r="G5" s="1"/>
    </row>
    <row r="6" spans="1:11">
      <c r="A6" s="4">
        <v>3</v>
      </c>
      <c r="B6" s="23" t="s">
        <v>65</v>
      </c>
      <c r="C6" s="5">
        <f>EVALUACION2!$C$22</f>
        <v>6.6</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6</v>
      </c>
      <c r="D13" s="14" t="str">
        <f t="shared" ref="D13:D17" si="0">IF($C13=CL,"X","")</f>
        <v/>
      </c>
      <c r="E13" s="14" t="str">
        <f>IF(D13="X",100*0.1,"")</f>
        <v/>
      </c>
      <c r="F13" s="14" t="str">
        <f t="shared" ref="F13:F17" si="1">IF($C13=L,"X","")</f>
        <v>X</v>
      </c>
      <c r="G13" s="14">
        <f>IF(F13="X",60*0.1,"")</f>
        <v>6</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6</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43"/>
      <c r="B21" s="25" t="s">
        <v>9</v>
      </c>
      <c r="C21" s="29">
        <f>E21+G21+I21+K21</f>
        <v>94</v>
      </c>
      <c r="D21" s="15"/>
      <c r="E21" s="15">
        <f>SUM(E13:E20)</f>
        <v>85</v>
      </c>
      <c r="F21" s="15"/>
      <c r="G21" s="15">
        <f>SUM(G13:G20)</f>
        <v>9</v>
      </c>
      <c r="H21" s="15"/>
      <c r="I21" s="15">
        <f>SUM(I13:I20)</f>
        <v>0</v>
      </c>
      <c r="J21" s="15"/>
      <c r="K21" s="15">
        <f>SUM(K13:K20)</f>
        <v>0</v>
      </c>
    </row>
    <row r="22" spans="1:11" ht="15.75" customHeight="1" outlineLevel="1">
      <c r="A22" s="45"/>
      <c r="B22" s="28" t="s">
        <v>10</v>
      </c>
      <c r="C22" s="16">
        <f>VLOOKUP(C21,ESCALA_IEP!A2:B202,2,FALSE)</f>
        <v>6.6</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2026-10-26T17:48:51Z</dcterms:modified>
  <cp:category/>
  <cp:contentStatus/>
</cp:coreProperties>
</file>